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diantes" sheetId="1" r:id="rId4"/>
    <sheet state="visible" name="Pagos" sheetId="2" r:id="rId5"/>
    <sheet state="visible" name="Estados de cuenta" sheetId="3" r:id="rId6"/>
  </sheets>
  <definedNames/>
  <calcPr/>
</workbook>
</file>

<file path=xl/sharedStrings.xml><?xml version="1.0" encoding="utf-8"?>
<sst xmlns="http://schemas.openxmlformats.org/spreadsheetml/2006/main" count="203" uniqueCount="109">
  <si>
    <t>ID</t>
  </si>
  <si>
    <t>Nombre</t>
  </si>
  <si>
    <t>Apellido</t>
  </si>
  <si>
    <t>email</t>
  </si>
  <si>
    <t>Grado</t>
  </si>
  <si>
    <t>Plan / Jornada</t>
  </si>
  <si>
    <t>Mensualidad Base</t>
  </si>
  <si>
    <t>Recargo &lt; 2 años</t>
  </si>
  <si>
    <t>Libro (Único)</t>
  </si>
  <si>
    <t>Total Mensual</t>
  </si>
  <si>
    <t>Total Mes</t>
  </si>
  <si>
    <t>Mateo</t>
  </si>
  <si>
    <t>García</t>
  </si>
  <si>
    <t>aelabs70@gmail.com</t>
  </si>
  <si>
    <t>Caminadores</t>
  </si>
  <si>
    <t>Media Jornada</t>
  </si>
  <si>
    <t>Elena</t>
  </si>
  <si>
    <t>Rodríguez</t>
  </si>
  <si>
    <t>Jardín</t>
  </si>
  <si>
    <t>Tiempo Completo</t>
  </si>
  <si>
    <t>Lucas</t>
  </si>
  <si>
    <t>Martínez</t>
  </si>
  <si>
    <t>Prejardín</t>
  </si>
  <si>
    <t>Media + Almuerzo</t>
  </si>
  <si>
    <t>Sofía</t>
  </si>
  <si>
    <t>López</t>
  </si>
  <si>
    <t>Párvulos</t>
  </si>
  <si>
    <t>Media + Lonchera</t>
  </si>
  <si>
    <t>Diego</t>
  </si>
  <si>
    <t>Sánchez</t>
  </si>
  <si>
    <t>Transición</t>
  </si>
  <si>
    <t>Valentina</t>
  </si>
  <si>
    <t>Pérez</t>
  </si>
  <si>
    <t>Media + Desayuno</t>
  </si>
  <si>
    <t>Thiago</t>
  </si>
  <si>
    <t>Gómez</t>
  </si>
  <si>
    <t>Media + Almuerzo/Lonchera</t>
  </si>
  <si>
    <t>Isabella</t>
  </si>
  <si>
    <t>Ruiz</t>
  </si>
  <si>
    <t>Samuel</t>
  </si>
  <si>
    <t>Castro</t>
  </si>
  <si>
    <t>Media + Desayuno/Almuerzo</t>
  </si>
  <si>
    <t>Emma</t>
  </si>
  <si>
    <t>Morales</t>
  </si>
  <si>
    <t>Joaquín</t>
  </si>
  <si>
    <t>Ortiz</t>
  </si>
  <si>
    <t>Mia</t>
  </si>
  <si>
    <t>Silva</t>
  </si>
  <si>
    <t>Matías</t>
  </si>
  <si>
    <t>Neira</t>
  </si>
  <si>
    <t>Antonella</t>
  </si>
  <si>
    <t>Rojas</t>
  </si>
  <si>
    <t>Benjamín</t>
  </si>
  <si>
    <t>Vera</t>
  </si>
  <si>
    <t>Victoria</t>
  </si>
  <si>
    <t>Cruz</t>
  </si>
  <si>
    <t>Julián</t>
  </si>
  <si>
    <t>Ibarra</t>
  </si>
  <si>
    <t>Martina</t>
  </si>
  <si>
    <t>Luna</t>
  </si>
  <si>
    <t>Agustín</t>
  </si>
  <si>
    <t>Peña</t>
  </si>
  <si>
    <t>Luciana</t>
  </si>
  <si>
    <t>Villa</t>
  </si>
  <si>
    <t>Maximiliano</t>
  </si>
  <si>
    <t>Toro</t>
  </si>
  <si>
    <t>Emilia</t>
  </si>
  <si>
    <t>Soto</t>
  </si>
  <si>
    <t>Fecha</t>
  </si>
  <si>
    <t>ID Estudiante</t>
  </si>
  <si>
    <t>Nombre Niño</t>
  </si>
  <si>
    <t>Concepto</t>
  </si>
  <si>
    <t>Valor Pagado</t>
  </si>
  <si>
    <t>Forma de Pago</t>
  </si>
  <si>
    <t>Mateo García</t>
  </si>
  <si>
    <t>Matrícula 2025</t>
  </si>
  <si>
    <t>Transferencia</t>
  </si>
  <si>
    <t>Elena Rodríguez</t>
  </si>
  <si>
    <t>Abono Matrícula</t>
  </si>
  <si>
    <t>Efectivo</t>
  </si>
  <si>
    <t>Lucas Martínez</t>
  </si>
  <si>
    <t>Matrícula + Libro</t>
  </si>
  <si>
    <t>Sofía López</t>
  </si>
  <si>
    <t>Nequi</t>
  </si>
  <si>
    <t>Saldo Matrícula</t>
  </si>
  <si>
    <t>Pago Libro Jardín</t>
  </si>
  <si>
    <t>Pensión Febrero</t>
  </si>
  <si>
    <t>Diego Sánchez</t>
  </si>
  <si>
    <t>Abono Pensión Feb</t>
  </si>
  <si>
    <t>Valentina Pérez</t>
  </si>
  <si>
    <t>Saldo Pensión Feb</t>
  </si>
  <si>
    <t>Thiago Gómez</t>
  </si>
  <si>
    <t>Isabella Ruiz</t>
  </si>
  <si>
    <t>Samuel Castro</t>
  </si>
  <si>
    <t>Pensión Marzo</t>
  </si>
  <si>
    <t>Emma Morales</t>
  </si>
  <si>
    <t>Joaquín Ortiz</t>
  </si>
  <si>
    <t>Mia Silva</t>
  </si>
  <si>
    <t>Matías Neira</t>
  </si>
  <si>
    <t>Antonella Rojas</t>
  </si>
  <si>
    <t>Benjamín Vera</t>
  </si>
  <si>
    <t>Victoria Cruz</t>
  </si>
  <si>
    <t>RC</t>
  </si>
  <si>
    <t>Estudiante</t>
  </si>
  <si>
    <t>Celular</t>
  </si>
  <si>
    <t>Total Deuda (Matrícula + 3 Meses)</t>
  </si>
  <si>
    <t>Total Pagado</t>
  </si>
  <si>
    <t>Saldo Pendiente</t>
  </si>
  <si>
    <t>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</si>
</sst>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dd/mm/yyyy"/>
  </numFmts>
  <fonts count="7">
    <font>
      <sz val="10.0"/>
      <color rgb="FF000000"/>
      <name val="Arial"/>
      <scheme val="minor"/>
    </font>
    <font>
      <color rgb="FF000000"/>
      <name val="&quot;Google Sans Text&quot;"/>
    </font>
    <font>
      <b/>
      <color rgb="FF000000"/>
      <name val="&quot;Google Sans Text&quot;"/>
    </font>
    <font>
      <color theme="1"/>
      <name val="Google Sans Text"/>
    </font>
    <font>
      <color theme="1"/>
      <name val="Arial"/>
      <scheme val="minor"/>
    </font>
    <font>
      <color rgb="FF000000"/>
      <name val="Arial"/>
      <scheme val="minor"/>
    </font>
    <font>
      <color rgb="FF1F1F1F"/>
      <name val="&quot;Google Sans Mono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4" numFmtId="16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5"/>
    <col customWidth="1" min="8" max="8" width="14.75"/>
    <col customWidth="1" min="9" max="9" width="14.0"/>
    <col customWidth="1" min="10" max="10" width="10.75"/>
    <col customWidth="1" min="11" max="11" width="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>
        <v>209.0</v>
      </c>
      <c r="H2" s="2">
        <v>55.0</v>
      </c>
      <c r="I2" s="2">
        <v>0.0</v>
      </c>
      <c r="J2" s="3">
        <v>264.0</v>
      </c>
      <c r="K2" s="2">
        <f t="shared" ref="K2:K23" si="1">G2+H2</f>
        <v>264</v>
      </c>
    </row>
    <row r="3">
      <c r="A3" s="1">
        <v>2.0</v>
      </c>
      <c r="B3" s="1" t="s">
        <v>16</v>
      </c>
      <c r="C3" s="1" t="s">
        <v>17</v>
      </c>
      <c r="D3" s="1" t="s">
        <v>13</v>
      </c>
      <c r="E3" s="1" t="s">
        <v>18</v>
      </c>
      <c r="F3" s="1" t="s">
        <v>19</v>
      </c>
      <c r="G3" s="2">
        <v>626.0</v>
      </c>
      <c r="H3" s="2">
        <v>0.0</v>
      </c>
      <c r="I3" s="4">
        <v>40.0</v>
      </c>
      <c r="J3" s="5">
        <v>626.0</v>
      </c>
      <c r="K3" s="2">
        <f t="shared" si="1"/>
        <v>626</v>
      </c>
    </row>
    <row r="4">
      <c r="A4" s="1">
        <v>3.0</v>
      </c>
      <c r="B4" s="1" t="s">
        <v>20</v>
      </c>
      <c r="C4" s="1" t="s">
        <v>21</v>
      </c>
      <c r="D4" s="1" t="s">
        <v>13</v>
      </c>
      <c r="E4" s="1" t="s">
        <v>22</v>
      </c>
      <c r="F4" s="1" t="s">
        <v>23</v>
      </c>
      <c r="G4" s="2">
        <v>354.0</v>
      </c>
      <c r="H4" s="2">
        <v>0.0</v>
      </c>
      <c r="I4" s="4">
        <v>40.0</v>
      </c>
      <c r="J4" s="5">
        <v>354.0</v>
      </c>
      <c r="K4" s="2">
        <f t="shared" si="1"/>
        <v>354</v>
      </c>
    </row>
    <row r="5">
      <c r="A5" s="1">
        <v>4.0</v>
      </c>
      <c r="B5" s="1" t="s">
        <v>24</v>
      </c>
      <c r="C5" s="1" t="s">
        <v>25</v>
      </c>
      <c r="D5" s="1" t="s">
        <v>13</v>
      </c>
      <c r="E5" s="1" t="s">
        <v>26</v>
      </c>
      <c r="F5" s="1" t="s">
        <v>27</v>
      </c>
      <c r="G5" s="2">
        <v>305.0</v>
      </c>
      <c r="H5" s="2">
        <v>55.0</v>
      </c>
      <c r="I5" s="4">
        <v>0.0</v>
      </c>
      <c r="J5" s="5">
        <v>360.0</v>
      </c>
      <c r="K5" s="2">
        <f t="shared" si="1"/>
        <v>360</v>
      </c>
    </row>
    <row r="6">
      <c r="A6" s="1">
        <v>5.0</v>
      </c>
      <c r="B6" s="1" t="s">
        <v>28</v>
      </c>
      <c r="C6" s="1" t="s">
        <v>29</v>
      </c>
      <c r="D6" s="1" t="s">
        <v>13</v>
      </c>
      <c r="E6" s="1" t="s">
        <v>30</v>
      </c>
      <c r="F6" s="1" t="s">
        <v>19</v>
      </c>
      <c r="G6" s="2">
        <v>626.0</v>
      </c>
      <c r="H6" s="4">
        <v>0.0</v>
      </c>
      <c r="I6" s="2">
        <v>40.0</v>
      </c>
      <c r="J6" s="5">
        <v>626.0</v>
      </c>
      <c r="K6" s="2">
        <f t="shared" si="1"/>
        <v>626</v>
      </c>
    </row>
    <row r="7">
      <c r="A7" s="1">
        <v>6.0</v>
      </c>
      <c r="B7" s="1" t="s">
        <v>31</v>
      </c>
      <c r="C7" s="1" t="s">
        <v>32</v>
      </c>
      <c r="D7" s="1" t="s">
        <v>13</v>
      </c>
      <c r="E7" s="1" t="s">
        <v>14</v>
      </c>
      <c r="F7" s="1" t="s">
        <v>33</v>
      </c>
      <c r="G7" s="2">
        <v>361.0</v>
      </c>
      <c r="H7" s="2">
        <v>55.0</v>
      </c>
      <c r="I7" s="4">
        <v>0.0</v>
      </c>
      <c r="J7" s="5">
        <v>416.0</v>
      </c>
      <c r="K7" s="2">
        <f t="shared" si="1"/>
        <v>416</v>
      </c>
    </row>
    <row r="8">
      <c r="A8" s="1">
        <v>7.0</v>
      </c>
      <c r="B8" s="1" t="s">
        <v>34</v>
      </c>
      <c r="C8" s="1" t="s">
        <v>35</v>
      </c>
      <c r="D8" s="1" t="s">
        <v>13</v>
      </c>
      <c r="E8" s="1" t="s">
        <v>18</v>
      </c>
      <c r="F8" s="1" t="s">
        <v>36</v>
      </c>
      <c r="G8" s="2">
        <v>390.0</v>
      </c>
      <c r="H8" s="4">
        <v>0.0</v>
      </c>
      <c r="I8" s="2">
        <v>40.0</v>
      </c>
      <c r="J8" s="5">
        <v>390.0</v>
      </c>
      <c r="K8" s="2">
        <f t="shared" si="1"/>
        <v>390</v>
      </c>
    </row>
    <row r="9">
      <c r="A9" s="1">
        <v>8.0</v>
      </c>
      <c r="B9" s="1" t="s">
        <v>37</v>
      </c>
      <c r="C9" s="1" t="s">
        <v>38</v>
      </c>
      <c r="D9" s="1" t="s">
        <v>13</v>
      </c>
      <c r="E9" s="1" t="s">
        <v>26</v>
      </c>
      <c r="F9" s="1" t="s">
        <v>15</v>
      </c>
      <c r="G9" s="2">
        <v>209.0</v>
      </c>
      <c r="H9" s="2">
        <v>55.0</v>
      </c>
      <c r="I9" s="4">
        <v>0.0</v>
      </c>
      <c r="J9" s="5">
        <v>264.0</v>
      </c>
      <c r="K9" s="2">
        <f t="shared" si="1"/>
        <v>264</v>
      </c>
    </row>
    <row r="10">
      <c r="A10" s="1">
        <v>9.0</v>
      </c>
      <c r="B10" s="1" t="s">
        <v>39</v>
      </c>
      <c r="C10" s="1" t="s">
        <v>40</v>
      </c>
      <c r="D10" s="1" t="s">
        <v>13</v>
      </c>
      <c r="E10" s="1" t="s">
        <v>22</v>
      </c>
      <c r="F10" s="1" t="s">
        <v>41</v>
      </c>
      <c r="G10" s="2">
        <v>471.0</v>
      </c>
      <c r="H10" s="4">
        <v>0.0</v>
      </c>
      <c r="I10" s="2">
        <v>40.0</v>
      </c>
      <c r="J10" s="5">
        <v>471.0</v>
      </c>
      <c r="K10" s="2">
        <f t="shared" si="1"/>
        <v>471</v>
      </c>
    </row>
    <row r="11">
      <c r="A11" s="1">
        <v>10.0</v>
      </c>
      <c r="B11" s="1" t="s">
        <v>42</v>
      </c>
      <c r="C11" s="1" t="s">
        <v>43</v>
      </c>
      <c r="D11" s="1" t="s">
        <v>13</v>
      </c>
      <c r="E11" s="1" t="s">
        <v>30</v>
      </c>
      <c r="F11" s="1" t="s">
        <v>15</v>
      </c>
      <c r="G11" s="2">
        <v>209.0</v>
      </c>
      <c r="H11" s="4">
        <v>0.0</v>
      </c>
      <c r="I11" s="2">
        <v>40.0</v>
      </c>
      <c r="J11" s="5">
        <v>209.0</v>
      </c>
      <c r="K11" s="2">
        <f t="shared" si="1"/>
        <v>209</v>
      </c>
    </row>
    <row r="12">
      <c r="A12" s="1">
        <v>11.0</v>
      </c>
      <c r="B12" s="1" t="s">
        <v>44</v>
      </c>
      <c r="C12" s="1" t="s">
        <v>45</v>
      </c>
      <c r="D12" s="1" t="s">
        <v>13</v>
      </c>
      <c r="E12" s="1" t="s">
        <v>14</v>
      </c>
      <c r="F12" s="1" t="s">
        <v>19</v>
      </c>
      <c r="G12" s="2">
        <v>626.0</v>
      </c>
      <c r="H12" s="2">
        <v>55.0</v>
      </c>
      <c r="I12" s="4">
        <v>0.0</v>
      </c>
      <c r="J12" s="5">
        <v>681.0</v>
      </c>
      <c r="K12" s="2">
        <f t="shared" si="1"/>
        <v>681</v>
      </c>
    </row>
    <row r="13">
      <c r="A13" s="1">
        <v>12.0</v>
      </c>
      <c r="B13" s="1" t="s">
        <v>46</v>
      </c>
      <c r="C13" s="1" t="s">
        <v>47</v>
      </c>
      <c r="D13" s="1" t="s">
        <v>13</v>
      </c>
      <c r="E13" s="1" t="s">
        <v>18</v>
      </c>
      <c r="F13" s="1" t="s">
        <v>27</v>
      </c>
      <c r="G13" s="2">
        <v>305.0</v>
      </c>
      <c r="H13" s="4">
        <v>0.0</v>
      </c>
      <c r="I13" s="2">
        <v>40.0</v>
      </c>
      <c r="J13" s="5">
        <v>305.0</v>
      </c>
      <c r="K13" s="2">
        <f t="shared" si="1"/>
        <v>305</v>
      </c>
    </row>
    <row r="14">
      <c r="A14" s="1">
        <v>13.0</v>
      </c>
      <c r="B14" s="1" t="s">
        <v>48</v>
      </c>
      <c r="C14" s="1" t="s">
        <v>49</v>
      </c>
      <c r="D14" s="1" t="s">
        <v>13</v>
      </c>
      <c r="E14" s="1" t="s">
        <v>26</v>
      </c>
      <c r="F14" s="1" t="s">
        <v>23</v>
      </c>
      <c r="G14" s="2">
        <v>354.0</v>
      </c>
      <c r="H14" s="2">
        <v>55.0</v>
      </c>
      <c r="I14" s="4">
        <v>0.0</v>
      </c>
      <c r="J14" s="5">
        <v>409.0</v>
      </c>
      <c r="K14" s="2">
        <f t="shared" si="1"/>
        <v>409</v>
      </c>
    </row>
    <row r="15">
      <c r="A15" s="1">
        <v>14.0</v>
      </c>
      <c r="B15" s="1" t="s">
        <v>50</v>
      </c>
      <c r="C15" s="1" t="s">
        <v>51</v>
      </c>
      <c r="D15" s="1" t="s">
        <v>13</v>
      </c>
      <c r="E15" s="1" t="s">
        <v>22</v>
      </c>
      <c r="F15" s="1" t="s">
        <v>19</v>
      </c>
      <c r="G15" s="2">
        <v>626.0</v>
      </c>
      <c r="H15" s="4">
        <v>0.0</v>
      </c>
      <c r="I15" s="2">
        <v>40.0</v>
      </c>
      <c r="J15" s="5">
        <v>626.0</v>
      </c>
      <c r="K15" s="2">
        <f t="shared" si="1"/>
        <v>626</v>
      </c>
    </row>
    <row r="16">
      <c r="A16" s="1">
        <v>15.0</v>
      </c>
      <c r="B16" s="1" t="s">
        <v>52</v>
      </c>
      <c r="C16" s="1" t="s">
        <v>53</v>
      </c>
      <c r="D16" s="1" t="s">
        <v>13</v>
      </c>
      <c r="E16" s="1" t="s">
        <v>30</v>
      </c>
      <c r="F16" s="1" t="s">
        <v>36</v>
      </c>
      <c r="G16" s="2">
        <v>390.0</v>
      </c>
      <c r="H16" s="4">
        <v>0.0</v>
      </c>
      <c r="I16" s="2">
        <v>40.0</v>
      </c>
      <c r="J16" s="5">
        <v>390.0</v>
      </c>
      <c r="K16" s="2">
        <f t="shared" si="1"/>
        <v>390</v>
      </c>
    </row>
    <row r="17">
      <c r="A17" s="1">
        <v>16.0</v>
      </c>
      <c r="B17" s="1" t="s">
        <v>54</v>
      </c>
      <c r="C17" s="1" t="s">
        <v>55</v>
      </c>
      <c r="D17" s="1" t="s">
        <v>13</v>
      </c>
      <c r="E17" s="1" t="s">
        <v>14</v>
      </c>
      <c r="F17" s="1" t="s">
        <v>23</v>
      </c>
      <c r="G17" s="2">
        <v>354.0</v>
      </c>
      <c r="H17" s="2">
        <v>55.0</v>
      </c>
      <c r="I17" s="4">
        <v>0.0</v>
      </c>
      <c r="J17" s="5">
        <v>409.0</v>
      </c>
      <c r="K17" s="2">
        <f t="shared" si="1"/>
        <v>409</v>
      </c>
    </row>
    <row r="18">
      <c r="A18" s="1">
        <v>17.0</v>
      </c>
      <c r="B18" s="1" t="s">
        <v>56</v>
      </c>
      <c r="C18" s="1" t="s">
        <v>57</v>
      </c>
      <c r="D18" s="1" t="s">
        <v>13</v>
      </c>
      <c r="E18" s="1" t="s">
        <v>18</v>
      </c>
      <c r="F18" s="1" t="s">
        <v>41</v>
      </c>
      <c r="G18" s="2">
        <v>471.0</v>
      </c>
      <c r="H18" s="4">
        <v>0.0</v>
      </c>
      <c r="I18" s="2">
        <v>40.0</v>
      </c>
      <c r="J18" s="5">
        <v>471.0</v>
      </c>
      <c r="K18" s="2">
        <f t="shared" si="1"/>
        <v>471</v>
      </c>
    </row>
    <row r="19">
      <c r="A19" s="1">
        <v>18.0</v>
      </c>
      <c r="B19" s="1" t="s">
        <v>58</v>
      </c>
      <c r="C19" s="1" t="s">
        <v>59</v>
      </c>
      <c r="D19" s="1" t="s">
        <v>13</v>
      </c>
      <c r="E19" s="1" t="s">
        <v>26</v>
      </c>
      <c r="F19" s="1" t="s">
        <v>19</v>
      </c>
      <c r="G19" s="2">
        <v>626.0</v>
      </c>
      <c r="H19" s="2">
        <v>55.0</v>
      </c>
      <c r="I19" s="4">
        <v>0.0</v>
      </c>
      <c r="J19" s="5">
        <v>681.0</v>
      </c>
      <c r="K19" s="2">
        <f t="shared" si="1"/>
        <v>681</v>
      </c>
    </row>
    <row r="20">
      <c r="A20" s="1">
        <v>19.0</v>
      </c>
      <c r="B20" s="1" t="s">
        <v>60</v>
      </c>
      <c r="C20" s="1" t="s">
        <v>61</v>
      </c>
      <c r="D20" s="1" t="s">
        <v>13</v>
      </c>
      <c r="E20" s="1" t="s">
        <v>22</v>
      </c>
      <c r="F20" s="1" t="s">
        <v>27</v>
      </c>
      <c r="G20" s="2">
        <v>305.0</v>
      </c>
      <c r="H20" s="4">
        <v>0.0</v>
      </c>
      <c r="I20" s="2">
        <v>40.0</v>
      </c>
      <c r="J20" s="5">
        <v>305.0</v>
      </c>
      <c r="K20" s="2">
        <f t="shared" si="1"/>
        <v>305</v>
      </c>
    </row>
    <row r="21">
      <c r="A21" s="1">
        <v>20.0</v>
      </c>
      <c r="B21" s="1" t="s">
        <v>62</v>
      </c>
      <c r="C21" s="1" t="s">
        <v>63</v>
      </c>
      <c r="D21" s="1" t="s">
        <v>13</v>
      </c>
      <c r="E21" s="1" t="s">
        <v>30</v>
      </c>
      <c r="F21" s="1" t="s">
        <v>33</v>
      </c>
      <c r="G21" s="2">
        <v>361.0</v>
      </c>
      <c r="H21" s="4">
        <v>0.0</v>
      </c>
      <c r="I21" s="2">
        <v>40.0</v>
      </c>
      <c r="J21" s="5">
        <v>361.0</v>
      </c>
      <c r="K21" s="2">
        <f t="shared" si="1"/>
        <v>361</v>
      </c>
    </row>
    <row r="22">
      <c r="A22" s="1">
        <v>21.0</v>
      </c>
      <c r="B22" s="1" t="s">
        <v>64</v>
      </c>
      <c r="C22" s="1" t="s">
        <v>65</v>
      </c>
      <c r="D22" s="1" t="s">
        <v>13</v>
      </c>
      <c r="E22" s="1" t="s">
        <v>14</v>
      </c>
      <c r="F22" s="1" t="s">
        <v>27</v>
      </c>
      <c r="G22" s="2">
        <v>305.0</v>
      </c>
      <c r="H22" s="2">
        <v>55.0</v>
      </c>
      <c r="I22" s="4">
        <v>0.0</v>
      </c>
      <c r="J22" s="5">
        <v>360.0</v>
      </c>
      <c r="K22" s="2">
        <f t="shared" si="1"/>
        <v>360</v>
      </c>
    </row>
    <row r="23">
      <c r="A23" s="1">
        <v>22.0</v>
      </c>
      <c r="B23" s="1" t="s">
        <v>66</v>
      </c>
      <c r="C23" s="1" t="s">
        <v>67</v>
      </c>
      <c r="D23" s="1" t="s">
        <v>13</v>
      </c>
      <c r="E23" s="1" t="s">
        <v>18</v>
      </c>
      <c r="F23" s="1" t="s">
        <v>15</v>
      </c>
      <c r="G23" s="2">
        <v>209.0</v>
      </c>
      <c r="H23" s="4">
        <v>0.0</v>
      </c>
      <c r="I23" s="2">
        <v>40.0</v>
      </c>
      <c r="J23" s="5">
        <v>209.0</v>
      </c>
      <c r="K23" s="2">
        <f t="shared" si="1"/>
        <v>209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</row>
    <row r="2">
      <c r="A2" s="7">
        <v>45659.0</v>
      </c>
      <c r="B2" s="8">
        <v>1.0</v>
      </c>
      <c r="C2" s="6" t="s">
        <v>74</v>
      </c>
      <c r="D2" s="9" t="s">
        <v>75</v>
      </c>
      <c r="E2" s="10">
        <v>471.15</v>
      </c>
      <c r="F2" s="6" t="s">
        <v>76</v>
      </c>
    </row>
    <row r="3">
      <c r="A3" s="7">
        <v>45659.0</v>
      </c>
      <c r="B3" s="8">
        <v>2.0</v>
      </c>
      <c r="C3" s="6" t="s">
        <v>77</v>
      </c>
      <c r="D3" s="9" t="s">
        <v>78</v>
      </c>
      <c r="E3" s="10">
        <v>250.0</v>
      </c>
      <c r="F3" s="6" t="s">
        <v>79</v>
      </c>
    </row>
    <row r="4">
      <c r="A4" s="7">
        <v>45660.0</v>
      </c>
      <c r="B4" s="8">
        <v>3.0</v>
      </c>
      <c r="C4" s="6" t="s">
        <v>80</v>
      </c>
      <c r="D4" s="9" t="s">
        <v>81</v>
      </c>
      <c r="E4" s="10">
        <v>511.15</v>
      </c>
      <c r="F4" s="6" t="s">
        <v>76</v>
      </c>
    </row>
    <row r="5">
      <c r="A5" s="7">
        <v>45661.0</v>
      </c>
      <c r="B5" s="8">
        <v>4.0</v>
      </c>
      <c r="C5" s="6" t="s">
        <v>82</v>
      </c>
      <c r="D5" s="9" t="s">
        <v>75</v>
      </c>
      <c r="E5" s="10">
        <v>471.15</v>
      </c>
      <c r="F5" s="6" t="s">
        <v>83</v>
      </c>
    </row>
    <row r="6">
      <c r="A6" s="7">
        <v>45662.0</v>
      </c>
      <c r="B6" s="8">
        <v>2.0</v>
      </c>
      <c r="C6" s="6" t="s">
        <v>77</v>
      </c>
      <c r="D6" s="9" t="s">
        <v>84</v>
      </c>
      <c r="E6" s="10">
        <v>221.15</v>
      </c>
      <c r="F6" s="6" t="s">
        <v>76</v>
      </c>
    </row>
    <row r="7">
      <c r="A7" s="7">
        <v>45662.0</v>
      </c>
      <c r="B7" s="8">
        <v>2.0</v>
      </c>
      <c r="C7" s="6" t="s">
        <v>77</v>
      </c>
      <c r="D7" s="6" t="s">
        <v>85</v>
      </c>
      <c r="E7" s="10">
        <v>40.0</v>
      </c>
      <c r="F7" s="6" t="s">
        <v>76</v>
      </c>
    </row>
    <row r="8">
      <c r="A8" s="7">
        <v>45689.0</v>
      </c>
      <c r="B8" s="8">
        <v>1.0</v>
      </c>
      <c r="C8" s="6" t="s">
        <v>74</v>
      </c>
      <c r="D8" s="6" t="s">
        <v>86</v>
      </c>
      <c r="E8" s="10">
        <v>264.0</v>
      </c>
      <c r="F8" s="6" t="s">
        <v>76</v>
      </c>
    </row>
    <row r="9">
      <c r="A9" s="7">
        <v>45690.0</v>
      </c>
      <c r="B9" s="8">
        <v>5.0</v>
      </c>
      <c r="C9" s="6" t="s">
        <v>87</v>
      </c>
      <c r="D9" s="6" t="s">
        <v>86</v>
      </c>
      <c r="E9" s="10">
        <v>626.0</v>
      </c>
      <c r="F9" s="6" t="s">
        <v>83</v>
      </c>
    </row>
    <row r="10">
      <c r="A10" s="7">
        <v>45691.0</v>
      </c>
      <c r="B10" s="8">
        <v>4.0</v>
      </c>
      <c r="C10" s="6" t="s">
        <v>82</v>
      </c>
      <c r="D10" s="6" t="s">
        <v>88</v>
      </c>
      <c r="E10" s="10">
        <v>200.0</v>
      </c>
      <c r="F10" s="6" t="s">
        <v>79</v>
      </c>
    </row>
    <row r="11">
      <c r="A11" s="7">
        <v>45693.0</v>
      </c>
      <c r="B11" s="8">
        <v>6.0</v>
      </c>
      <c r="C11" s="6" t="s">
        <v>89</v>
      </c>
      <c r="D11" s="6" t="s">
        <v>86</v>
      </c>
      <c r="E11" s="10">
        <v>416.0</v>
      </c>
      <c r="F11" s="6" t="s">
        <v>76</v>
      </c>
    </row>
    <row r="12">
      <c r="A12" s="7">
        <v>45694.0</v>
      </c>
      <c r="B12" s="8">
        <v>4.0</v>
      </c>
      <c r="C12" s="6" t="s">
        <v>82</v>
      </c>
      <c r="D12" s="6" t="s">
        <v>90</v>
      </c>
      <c r="E12" s="10">
        <v>160.0</v>
      </c>
      <c r="F12" s="6" t="s">
        <v>79</v>
      </c>
    </row>
    <row r="13">
      <c r="A13" s="7">
        <v>45695.0</v>
      </c>
      <c r="B13" s="8">
        <v>7.0</v>
      </c>
      <c r="C13" s="6" t="s">
        <v>91</v>
      </c>
      <c r="D13" s="6" t="s">
        <v>86</v>
      </c>
      <c r="E13" s="10">
        <v>390.0</v>
      </c>
      <c r="F13" s="6" t="s">
        <v>83</v>
      </c>
    </row>
    <row r="14">
      <c r="A14" s="7">
        <v>45696.0</v>
      </c>
      <c r="B14" s="8">
        <v>8.0</v>
      </c>
      <c r="C14" s="6" t="s">
        <v>92</v>
      </c>
      <c r="D14" s="6" t="s">
        <v>86</v>
      </c>
      <c r="E14" s="10">
        <v>264.0</v>
      </c>
      <c r="F14" s="6" t="s">
        <v>76</v>
      </c>
    </row>
    <row r="15">
      <c r="A15" s="7">
        <v>45698.0</v>
      </c>
      <c r="B15" s="8">
        <v>9.0</v>
      </c>
      <c r="C15" s="6" t="s">
        <v>93</v>
      </c>
      <c r="D15" s="6" t="s">
        <v>86</v>
      </c>
      <c r="E15" s="10">
        <v>471.0</v>
      </c>
      <c r="F15" s="6" t="s">
        <v>79</v>
      </c>
    </row>
    <row r="16">
      <c r="A16" s="7">
        <v>45717.0</v>
      </c>
      <c r="B16" s="8">
        <v>1.0</v>
      </c>
      <c r="C16" s="6" t="s">
        <v>74</v>
      </c>
      <c r="D16" s="6" t="s">
        <v>94</v>
      </c>
      <c r="E16" s="10">
        <v>264.0</v>
      </c>
      <c r="F16" s="6" t="s">
        <v>76</v>
      </c>
    </row>
    <row r="17">
      <c r="A17" s="7">
        <v>45718.0</v>
      </c>
      <c r="B17" s="8">
        <v>10.0</v>
      </c>
      <c r="C17" s="6" t="s">
        <v>95</v>
      </c>
      <c r="D17" s="6" t="s">
        <v>94</v>
      </c>
      <c r="E17" s="10">
        <v>209.0</v>
      </c>
      <c r="F17" s="6" t="s">
        <v>76</v>
      </c>
    </row>
    <row r="18">
      <c r="A18" s="7">
        <v>45719.0</v>
      </c>
      <c r="B18" s="8">
        <v>11.0</v>
      </c>
      <c r="C18" s="6" t="s">
        <v>96</v>
      </c>
      <c r="D18" s="6" t="s">
        <v>94</v>
      </c>
      <c r="E18" s="10">
        <v>681.0</v>
      </c>
      <c r="F18" s="6" t="s">
        <v>83</v>
      </c>
    </row>
    <row r="19">
      <c r="A19" s="7">
        <v>45720.0</v>
      </c>
      <c r="B19" s="8">
        <v>12.0</v>
      </c>
      <c r="C19" s="6" t="s">
        <v>97</v>
      </c>
      <c r="D19" s="6" t="s">
        <v>94</v>
      </c>
      <c r="E19" s="10">
        <v>305.0</v>
      </c>
      <c r="F19" s="6" t="s">
        <v>76</v>
      </c>
    </row>
    <row r="20">
      <c r="A20" s="7">
        <v>45721.0</v>
      </c>
      <c r="B20" s="8">
        <v>13.0</v>
      </c>
      <c r="C20" s="6" t="s">
        <v>98</v>
      </c>
      <c r="D20" s="6" t="s">
        <v>94</v>
      </c>
      <c r="E20" s="10">
        <v>409.0</v>
      </c>
      <c r="F20" s="6" t="s">
        <v>79</v>
      </c>
    </row>
    <row r="21">
      <c r="A21" s="7">
        <v>45722.0</v>
      </c>
      <c r="B21" s="8">
        <v>14.0</v>
      </c>
      <c r="C21" s="6" t="s">
        <v>99</v>
      </c>
      <c r="D21" s="6" t="s">
        <v>94</v>
      </c>
      <c r="E21" s="10">
        <v>626.0</v>
      </c>
      <c r="F21" s="6" t="s">
        <v>83</v>
      </c>
    </row>
    <row r="22">
      <c r="A22" s="7">
        <v>45723.0</v>
      </c>
      <c r="B22" s="8">
        <v>15.0</v>
      </c>
      <c r="C22" s="6" t="s">
        <v>100</v>
      </c>
      <c r="D22" s="6" t="s">
        <v>94</v>
      </c>
      <c r="E22" s="10">
        <v>390.0</v>
      </c>
      <c r="F22" s="6" t="s">
        <v>76</v>
      </c>
    </row>
    <row r="23">
      <c r="A23" s="7">
        <v>45724.0</v>
      </c>
      <c r="B23" s="8">
        <v>16.0</v>
      </c>
      <c r="C23" s="6" t="s">
        <v>101</v>
      </c>
      <c r="D23" s="6" t="s">
        <v>94</v>
      </c>
      <c r="E23" s="10">
        <v>409.0</v>
      </c>
      <c r="F23" s="6" t="s">
        <v>79</v>
      </c>
    </row>
    <row r="24">
      <c r="A24" s="7">
        <v>45725.0</v>
      </c>
      <c r="B24" s="11">
        <v>1.0</v>
      </c>
      <c r="C24" s="11" t="s">
        <v>74</v>
      </c>
      <c r="D24" s="11" t="s">
        <v>94</v>
      </c>
      <c r="E24" s="11">
        <v>264.0</v>
      </c>
      <c r="F24" s="11" t="s">
        <v>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4" max="4" width="26.63"/>
    <col customWidth="1" min="6" max="6" width="13.25"/>
  </cols>
  <sheetData>
    <row r="1">
      <c r="A1" s="12" t="s">
        <v>102</v>
      </c>
      <c r="B1" s="6" t="s">
        <v>103</v>
      </c>
      <c r="C1" s="12" t="s">
        <v>104</v>
      </c>
      <c r="D1" s="6" t="s">
        <v>105</v>
      </c>
      <c r="E1" s="6" t="s">
        <v>106</v>
      </c>
      <c r="F1" s="6" t="s">
        <v>107</v>
      </c>
      <c r="G1" s="6" t="s">
        <v>108</v>
      </c>
    </row>
    <row r="2">
      <c r="A2" s="13">
        <v>1.0</v>
      </c>
      <c r="B2" s="14" t="str">
        <f>VLOOKUP(A2, Estudiantes!A:B, 2, FALSE)</f>
        <v>Mateo</v>
      </c>
      <c r="C2" s="15">
        <v>5.73193275591E11</v>
      </c>
      <c r="D2" s="16">
        <f t="array" ref="D2">(471.15 + INDEX(Estudiantes!$J:$J, MATCH(A2, Estudiantes!$A:$A, 0))) + (INDEX(Estudiantes!$K:$K, MATCH(A2, Estudiantes!$A:$A, 0)) * 2)</f>
        <v>1263.15</v>
      </c>
      <c r="E2" s="17">
        <f>SUMIF(Pagos!$B:$B, A2, Pagos!$E:$E)</f>
        <v>1263.15</v>
      </c>
      <c r="F2" s="16">
        <f t="shared" ref="F2:F23" si="1">D2-E2</f>
        <v>0</v>
      </c>
      <c r="G2" s="17" t="str">
        <f t="shared" ref="G2:G23" si="2">IF(F2 &gt; 0, "Mora", "Al día")</f>
        <v>Al día</v>
      </c>
    </row>
    <row r="3">
      <c r="A3" s="13">
        <v>2.0</v>
      </c>
      <c r="B3" s="14" t="str">
        <f>VLOOKUP(A3, Estudiantes!A:B, 2, FALSE)</f>
        <v>Elena</v>
      </c>
      <c r="C3" s="15">
        <v>5.73193275591E11</v>
      </c>
      <c r="D3" s="16">
        <f t="array" ref="D3">(471.15 + INDEX(Estudiantes!$J:$J, MATCH(A3, Estudiantes!$A:$A, 0))) + (INDEX(Estudiantes!$K:$K, MATCH(A3, Estudiantes!$A:$A, 0)) * 2)</f>
        <v>2349.15</v>
      </c>
      <c r="E3" s="17">
        <f>SUMIF(Pagos!$B:$B, A3, Pagos!$E:$E)</f>
        <v>511.15</v>
      </c>
      <c r="F3" s="16">
        <f t="shared" si="1"/>
        <v>1838</v>
      </c>
      <c r="G3" s="17" t="str">
        <f t="shared" si="2"/>
        <v>Mora</v>
      </c>
    </row>
    <row r="4">
      <c r="A4" s="13">
        <v>3.0</v>
      </c>
      <c r="B4" s="14" t="str">
        <f>VLOOKUP(A4, Estudiantes!A:B, 2, FALSE)</f>
        <v>Lucas</v>
      </c>
      <c r="C4" s="15">
        <v>5.73193275591E11</v>
      </c>
      <c r="D4" s="16">
        <f t="array" ref="D4">(471.15 + INDEX(Estudiantes!$J:$J, MATCH(A4, Estudiantes!$A:$A, 0))) + (INDEX(Estudiantes!$K:$K, MATCH(A4, Estudiantes!$A:$A, 0)) * 2)</f>
        <v>1533.15</v>
      </c>
      <c r="E4" s="17">
        <f>SUMIF(Pagos!$B:$B, A4, Pagos!$E:$E)</f>
        <v>511.15</v>
      </c>
      <c r="F4" s="16">
        <f t="shared" si="1"/>
        <v>1022</v>
      </c>
      <c r="G4" s="17" t="str">
        <f t="shared" si="2"/>
        <v>Mora</v>
      </c>
    </row>
    <row r="5">
      <c r="A5" s="13">
        <v>4.0</v>
      </c>
      <c r="B5" s="14" t="str">
        <f>VLOOKUP(A5, Estudiantes!A:B, 2, FALSE)</f>
        <v>Sofía</v>
      </c>
      <c r="C5" s="15">
        <v>5.73193275591E11</v>
      </c>
      <c r="D5" s="16">
        <f t="array" ref="D5">(471.15 + INDEX(Estudiantes!$J:$J, MATCH(A5, Estudiantes!$A:$A, 0))) + (INDEX(Estudiantes!$K:$K, MATCH(A5, Estudiantes!$A:$A, 0)) * 2)</f>
        <v>1551.15</v>
      </c>
      <c r="E5" s="17">
        <f>SUMIF(Pagos!$B:$B, A5, Pagos!$E:$E)</f>
        <v>831.15</v>
      </c>
      <c r="F5" s="16">
        <f t="shared" si="1"/>
        <v>720</v>
      </c>
      <c r="G5" s="17" t="str">
        <f t="shared" si="2"/>
        <v>Mora</v>
      </c>
    </row>
    <row r="6">
      <c r="A6" s="13">
        <v>5.0</v>
      </c>
      <c r="B6" s="14" t="str">
        <f>VLOOKUP(A6, Estudiantes!A:B, 2, FALSE)</f>
        <v>Diego</v>
      </c>
      <c r="C6" s="15">
        <v>5.73193275591E11</v>
      </c>
      <c r="D6" s="16">
        <f t="array" ref="D6">(471.15 + INDEX(Estudiantes!$J:$J, MATCH(A6, Estudiantes!$A:$A, 0))) + (INDEX(Estudiantes!$K:$K, MATCH(A6, Estudiantes!$A:$A, 0)) * 2)</f>
        <v>2349.15</v>
      </c>
      <c r="E6" s="17">
        <f>SUMIF(Pagos!$B:$B, A6, Pagos!$E:$E)</f>
        <v>626</v>
      </c>
      <c r="F6" s="16">
        <f t="shared" si="1"/>
        <v>1723.15</v>
      </c>
      <c r="G6" s="17" t="str">
        <f t="shared" si="2"/>
        <v>Mora</v>
      </c>
    </row>
    <row r="7">
      <c r="A7" s="13">
        <v>6.0</v>
      </c>
      <c r="B7" s="14" t="str">
        <f>VLOOKUP(A7, Estudiantes!A:B, 2, FALSE)</f>
        <v>Valentina</v>
      </c>
      <c r="C7" s="15">
        <v>5.73193275591E11</v>
      </c>
      <c r="D7" s="16">
        <f t="array" ref="D7">(471.15 + INDEX(Estudiantes!$J:$J, MATCH(A7, Estudiantes!$A:$A, 0))) + (INDEX(Estudiantes!$K:$K, MATCH(A7, Estudiantes!$A:$A, 0)) * 2)</f>
        <v>1719.15</v>
      </c>
      <c r="E7" s="17">
        <f>SUMIF(Pagos!$B:$B, A7, Pagos!$E:$E)</f>
        <v>416</v>
      </c>
      <c r="F7" s="16">
        <f t="shared" si="1"/>
        <v>1303.15</v>
      </c>
      <c r="G7" s="17" t="str">
        <f t="shared" si="2"/>
        <v>Mora</v>
      </c>
    </row>
    <row r="8">
      <c r="A8" s="13">
        <v>7.0</v>
      </c>
      <c r="B8" s="14" t="str">
        <f>VLOOKUP(A8, Estudiantes!A:B, 2, FALSE)</f>
        <v>Thiago</v>
      </c>
      <c r="C8" s="15">
        <v>5.73193275591E11</v>
      </c>
      <c r="D8" s="16">
        <f t="array" ref="D8">(471.15 + INDEX(Estudiantes!$J:$J, MATCH(A8, Estudiantes!$A:$A, 0))) + (INDEX(Estudiantes!$K:$K, MATCH(A8, Estudiantes!$A:$A, 0)) * 2)</f>
        <v>1641.15</v>
      </c>
      <c r="E8" s="17">
        <f>SUMIF(Pagos!$B:$B, A8, Pagos!$E:$E)</f>
        <v>390</v>
      </c>
      <c r="F8" s="16">
        <f t="shared" si="1"/>
        <v>1251.15</v>
      </c>
      <c r="G8" s="17" t="str">
        <f t="shared" si="2"/>
        <v>Mora</v>
      </c>
    </row>
    <row r="9">
      <c r="A9" s="13">
        <v>8.0</v>
      </c>
      <c r="B9" s="14" t="str">
        <f>VLOOKUP(A9, Estudiantes!A:B, 2, FALSE)</f>
        <v>Isabella</v>
      </c>
      <c r="C9" s="15">
        <v>5.73193275591E11</v>
      </c>
      <c r="D9" s="16">
        <f t="array" ref="D9">(471.15 + INDEX(Estudiantes!$J:$J, MATCH(A9, Estudiantes!$A:$A, 0))) + (INDEX(Estudiantes!$K:$K, MATCH(A9, Estudiantes!$A:$A, 0)) * 2)</f>
        <v>1263.15</v>
      </c>
      <c r="E9" s="17">
        <f>SUMIF(Pagos!$B:$B, A9, Pagos!$E:$E)</f>
        <v>264</v>
      </c>
      <c r="F9" s="16">
        <f t="shared" si="1"/>
        <v>999.15</v>
      </c>
      <c r="G9" s="17" t="str">
        <f t="shared" si="2"/>
        <v>Mora</v>
      </c>
    </row>
    <row r="10">
      <c r="A10" s="13">
        <v>9.0</v>
      </c>
      <c r="B10" s="14" t="str">
        <f>VLOOKUP(A10, Estudiantes!A:B, 2, FALSE)</f>
        <v>Samuel</v>
      </c>
      <c r="C10" s="15">
        <v>5.73193275591E11</v>
      </c>
      <c r="D10" s="16">
        <f t="array" ref="D10">(471.15 + INDEX(Estudiantes!$J:$J, MATCH(A10, Estudiantes!$A:$A, 0))) + (INDEX(Estudiantes!$K:$K, MATCH(A10, Estudiantes!$A:$A, 0)) * 2)</f>
        <v>1884.15</v>
      </c>
      <c r="E10" s="17">
        <f>SUMIF(Pagos!$B:$B, A10, Pagos!$E:$E)</f>
        <v>471</v>
      </c>
      <c r="F10" s="16">
        <f t="shared" si="1"/>
        <v>1413.15</v>
      </c>
      <c r="G10" s="17" t="str">
        <f t="shared" si="2"/>
        <v>Mora</v>
      </c>
    </row>
    <row r="11">
      <c r="A11" s="13">
        <v>10.0</v>
      </c>
      <c r="B11" s="14" t="str">
        <f>VLOOKUP(A11, Estudiantes!A:B, 2, FALSE)</f>
        <v>Emma</v>
      </c>
      <c r="C11" s="15">
        <v>5.73193275591E11</v>
      </c>
      <c r="D11" s="16">
        <f t="array" ref="D11">(471.15 + INDEX(Estudiantes!$J:$J, MATCH(A11, Estudiantes!$A:$A, 0))) + (INDEX(Estudiantes!$K:$K, MATCH(A11, Estudiantes!$A:$A, 0)) * 2)</f>
        <v>1098.15</v>
      </c>
      <c r="E11" s="17">
        <f>SUMIF(Pagos!$B:$B, A11, Pagos!$E:$E)</f>
        <v>209</v>
      </c>
      <c r="F11" s="16">
        <f t="shared" si="1"/>
        <v>889.15</v>
      </c>
      <c r="G11" s="17" t="str">
        <f t="shared" si="2"/>
        <v>Mora</v>
      </c>
    </row>
    <row r="12">
      <c r="A12" s="13">
        <v>11.0</v>
      </c>
      <c r="B12" s="14" t="str">
        <f>VLOOKUP(A12, Estudiantes!A:B, 2, FALSE)</f>
        <v>Joaquín</v>
      </c>
      <c r="C12" s="15">
        <v>5.73193275591E11</v>
      </c>
      <c r="D12" s="16">
        <f t="array" ref="D12">(471.15 + INDEX(Estudiantes!$J:$J, MATCH(A12, Estudiantes!$A:$A, 0))) + (INDEX(Estudiantes!$K:$K, MATCH(A12, Estudiantes!$A:$A, 0)) * 2)</f>
        <v>2514.15</v>
      </c>
      <c r="E12" s="17">
        <f>SUMIF(Pagos!$B:$B, A12, Pagos!$E:$E)</f>
        <v>681</v>
      </c>
      <c r="F12" s="16">
        <f t="shared" si="1"/>
        <v>1833.15</v>
      </c>
      <c r="G12" s="17" t="str">
        <f t="shared" si="2"/>
        <v>Mora</v>
      </c>
    </row>
    <row r="13">
      <c r="A13" s="13">
        <v>12.0</v>
      </c>
      <c r="B13" s="14" t="str">
        <f>VLOOKUP(A13, Estudiantes!A:B, 2, FALSE)</f>
        <v>Mia</v>
      </c>
      <c r="C13" s="15">
        <v>5.73193275591E11</v>
      </c>
      <c r="D13" s="16">
        <f t="array" ref="D13">(471.15 + INDEX(Estudiantes!$J:$J, MATCH(A13, Estudiantes!$A:$A, 0))) + (INDEX(Estudiantes!$K:$K, MATCH(A13, Estudiantes!$A:$A, 0)) * 2)</f>
        <v>1386.15</v>
      </c>
      <c r="E13" s="17">
        <f>SUMIF(Pagos!$B:$B, A13, Pagos!$E:$E)</f>
        <v>305</v>
      </c>
      <c r="F13" s="16">
        <f t="shared" si="1"/>
        <v>1081.15</v>
      </c>
      <c r="G13" s="17" t="str">
        <f t="shared" si="2"/>
        <v>Mora</v>
      </c>
    </row>
    <row r="14">
      <c r="A14" s="13">
        <v>13.0</v>
      </c>
      <c r="B14" s="14" t="str">
        <f>VLOOKUP(A14, Estudiantes!A:B, 2, FALSE)</f>
        <v>Matías</v>
      </c>
      <c r="C14" s="15">
        <v>5.73193275591E11</v>
      </c>
      <c r="D14" s="16">
        <f t="array" ref="D14">(471.15 + INDEX(Estudiantes!$J:$J, MATCH(A14, Estudiantes!$A:$A, 0))) + (INDEX(Estudiantes!$K:$K, MATCH(A14, Estudiantes!$A:$A, 0)) * 2)</f>
        <v>1698.15</v>
      </c>
      <c r="E14" s="17">
        <f>SUMIF(Pagos!$B:$B, A14, Pagos!$E:$E)</f>
        <v>409</v>
      </c>
      <c r="F14" s="16">
        <f t="shared" si="1"/>
        <v>1289.15</v>
      </c>
      <c r="G14" s="17" t="str">
        <f t="shared" si="2"/>
        <v>Mora</v>
      </c>
    </row>
    <row r="15">
      <c r="A15" s="13">
        <v>14.0</v>
      </c>
      <c r="B15" s="14" t="str">
        <f>VLOOKUP(A15, Estudiantes!A:B, 2, FALSE)</f>
        <v>Antonella</v>
      </c>
      <c r="C15" s="15">
        <v>5.73193275591E11</v>
      </c>
      <c r="D15" s="16">
        <f t="array" ref="D15">(471.15 + INDEX(Estudiantes!$J:$J, MATCH(A15, Estudiantes!$A:$A, 0))) + (INDEX(Estudiantes!$K:$K, MATCH(A15, Estudiantes!$A:$A, 0)) * 2)</f>
        <v>2349.15</v>
      </c>
      <c r="E15" s="17">
        <f>SUMIF(Pagos!$B:$B, A15, Pagos!$E:$E)</f>
        <v>626</v>
      </c>
      <c r="F15" s="16">
        <f t="shared" si="1"/>
        <v>1723.15</v>
      </c>
      <c r="G15" s="17" t="str">
        <f t="shared" si="2"/>
        <v>Mora</v>
      </c>
    </row>
    <row r="16">
      <c r="A16" s="13">
        <v>15.0</v>
      </c>
      <c r="B16" s="14" t="str">
        <f>VLOOKUP(A16, Estudiantes!A:B, 2, FALSE)</f>
        <v>Benjamín</v>
      </c>
      <c r="C16" s="15">
        <v>5.73193275591E11</v>
      </c>
      <c r="D16" s="16">
        <f t="array" ref="D16">(471.15 + INDEX(Estudiantes!$J:$J, MATCH(A16, Estudiantes!$A:$A, 0))) + (INDEX(Estudiantes!$K:$K, MATCH(A16, Estudiantes!$A:$A, 0)) * 2)</f>
        <v>1641.15</v>
      </c>
      <c r="E16" s="17">
        <f>SUMIF(Pagos!$B:$B, A16, Pagos!$E:$E)</f>
        <v>390</v>
      </c>
      <c r="F16" s="16">
        <f t="shared" si="1"/>
        <v>1251.15</v>
      </c>
      <c r="G16" s="17" t="str">
        <f t="shared" si="2"/>
        <v>Mora</v>
      </c>
    </row>
    <row r="17">
      <c r="A17" s="13">
        <v>16.0</v>
      </c>
      <c r="B17" s="14" t="str">
        <f>VLOOKUP(A17, Estudiantes!A:B, 2, FALSE)</f>
        <v>Victoria</v>
      </c>
      <c r="C17" s="15">
        <v>5.73193275591E11</v>
      </c>
      <c r="D17" s="16">
        <f t="array" ref="D17">(471.15 + INDEX(Estudiantes!$J:$J, MATCH(A17, Estudiantes!$A:$A, 0))) + (INDEX(Estudiantes!$K:$K, MATCH(A17, Estudiantes!$A:$A, 0)) * 2)</f>
        <v>1698.15</v>
      </c>
      <c r="E17" s="17">
        <f>SUMIF(Pagos!$B:$B, A17, Pagos!$E:$E)</f>
        <v>409</v>
      </c>
      <c r="F17" s="16">
        <f t="shared" si="1"/>
        <v>1289.15</v>
      </c>
      <c r="G17" s="17" t="str">
        <f t="shared" si="2"/>
        <v>Mora</v>
      </c>
    </row>
    <row r="18">
      <c r="A18" s="13">
        <v>17.0</v>
      </c>
      <c r="B18" s="14" t="str">
        <f>VLOOKUP(A18, Estudiantes!A:B, 2, FALSE)</f>
        <v>Julián</v>
      </c>
      <c r="C18" s="15">
        <v>5.73193275591E11</v>
      </c>
      <c r="D18" s="16">
        <f t="array" ref="D18">(471.15 + INDEX(Estudiantes!$J:$J, MATCH(A18, Estudiantes!$A:$A, 0))) + (INDEX(Estudiantes!$K:$K, MATCH(A18, Estudiantes!$A:$A, 0)) * 2)</f>
        <v>1884.15</v>
      </c>
      <c r="E18" s="17">
        <f>SUMIF(Pagos!$B:$B, A18, Pagos!$E:$E)</f>
        <v>0</v>
      </c>
      <c r="F18" s="16">
        <f t="shared" si="1"/>
        <v>1884.15</v>
      </c>
      <c r="G18" s="17" t="str">
        <f t="shared" si="2"/>
        <v>Mora</v>
      </c>
    </row>
    <row r="19">
      <c r="A19" s="13">
        <v>18.0</v>
      </c>
      <c r="B19" s="14" t="str">
        <f>VLOOKUP(A19, Estudiantes!A:B, 2, FALSE)</f>
        <v>Martina</v>
      </c>
      <c r="C19" s="15">
        <v>5.73193275591E11</v>
      </c>
      <c r="D19" s="16">
        <f t="array" ref="D19">(471.15 + INDEX(Estudiantes!$J:$J, MATCH(A19, Estudiantes!$A:$A, 0))) + (INDEX(Estudiantes!$K:$K, MATCH(A19, Estudiantes!$A:$A, 0)) * 2)</f>
        <v>2514.15</v>
      </c>
      <c r="E19" s="17">
        <f>SUMIF(Pagos!$B:$B, A19, Pagos!$E:$E)</f>
        <v>0</v>
      </c>
      <c r="F19" s="16">
        <f t="shared" si="1"/>
        <v>2514.15</v>
      </c>
      <c r="G19" s="17" t="str">
        <f t="shared" si="2"/>
        <v>Mora</v>
      </c>
    </row>
    <row r="20">
      <c r="A20" s="13">
        <v>19.0</v>
      </c>
      <c r="B20" s="14" t="str">
        <f>VLOOKUP(A20, Estudiantes!A:B, 2, FALSE)</f>
        <v>Agustín</v>
      </c>
      <c r="C20" s="15">
        <v>5.73193275591E11</v>
      </c>
      <c r="D20" s="16">
        <f t="array" ref="D20">(471.15 + INDEX(Estudiantes!$J:$J, MATCH(A20, Estudiantes!$A:$A, 0))) + (INDEX(Estudiantes!$K:$K, MATCH(A20, Estudiantes!$A:$A, 0)) * 2)</f>
        <v>1386.15</v>
      </c>
      <c r="E20" s="17">
        <f>SUMIF(Pagos!$B:$B, A20, Pagos!$E:$E)</f>
        <v>0</v>
      </c>
      <c r="F20" s="16">
        <f t="shared" si="1"/>
        <v>1386.15</v>
      </c>
      <c r="G20" s="17" t="str">
        <f t="shared" si="2"/>
        <v>Mora</v>
      </c>
    </row>
    <row r="21">
      <c r="A21" s="13">
        <v>20.0</v>
      </c>
      <c r="B21" s="14" t="str">
        <f>VLOOKUP(A21, Estudiantes!A:B, 2, FALSE)</f>
        <v>Luciana</v>
      </c>
      <c r="C21" s="15">
        <v>5.73193275591E11</v>
      </c>
      <c r="D21" s="16">
        <f t="array" ref="D21">(471.15 + INDEX(Estudiantes!$J:$J, MATCH(A21, Estudiantes!$A:$A, 0))) + (INDEX(Estudiantes!$K:$K, MATCH(A21, Estudiantes!$A:$A, 0)) * 2)</f>
        <v>1554.15</v>
      </c>
      <c r="E21" s="17">
        <f>SUMIF(Pagos!$B:$B, A21, Pagos!$E:$E)</f>
        <v>0</v>
      </c>
      <c r="F21" s="16">
        <f t="shared" si="1"/>
        <v>1554.15</v>
      </c>
      <c r="G21" s="17" t="str">
        <f t="shared" si="2"/>
        <v>Mora</v>
      </c>
    </row>
    <row r="22">
      <c r="A22" s="13">
        <v>21.0</v>
      </c>
      <c r="B22" s="14" t="str">
        <f>VLOOKUP(A22, Estudiantes!A:B, 2, FALSE)</f>
        <v>Maximiliano</v>
      </c>
      <c r="C22" s="15">
        <v>5.73193275591E11</v>
      </c>
      <c r="D22" s="16">
        <f t="array" ref="D22">(471.15 + INDEX(Estudiantes!$J:$J, MATCH(A22, Estudiantes!$A:$A, 0))) + (INDEX(Estudiantes!$K:$K, MATCH(A22, Estudiantes!$A:$A, 0)) * 2)</f>
        <v>1551.15</v>
      </c>
      <c r="E22" s="17">
        <f>SUMIF(Pagos!$B:$B, A22, Pagos!$E:$E)</f>
        <v>0</v>
      </c>
      <c r="F22" s="16">
        <f t="shared" si="1"/>
        <v>1551.15</v>
      </c>
      <c r="G22" s="17" t="str">
        <f t="shared" si="2"/>
        <v>Mora</v>
      </c>
    </row>
    <row r="23">
      <c r="A23" s="13">
        <v>22.0</v>
      </c>
      <c r="B23" s="14" t="str">
        <f>VLOOKUP(A23, Estudiantes!A:B, 2, FALSE)</f>
        <v>Emilia</v>
      </c>
      <c r="C23" s="15">
        <v>5.73193275591E11</v>
      </c>
      <c r="D23" s="16">
        <f t="array" ref="D23">(471.15 + INDEX(Estudiantes!$J:$J, MATCH(A23, Estudiantes!$A:$A, 0))) + (INDEX(Estudiantes!$K:$K, MATCH(A23, Estudiantes!$A:$A, 0)) * 2)</f>
        <v>1098.15</v>
      </c>
      <c r="E23" s="17">
        <f>SUMIF(Pagos!$B:$B, A23, Pagos!$E:$E)</f>
        <v>0</v>
      </c>
      <c r="F23" s="16">
        <f t="shared" si="1"/>
        <v>1098.15</v>
      </c>
      <c r="G23" s="17" t="str">
        <f t="shared" si="2"/>
        <v>Mora</v>
      </c>
    </row>
  </sheetData>
  <drawing r:id="rId1"/>
</worksheet>
</file>